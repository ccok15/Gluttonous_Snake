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300" windowHeight="16060" tabRatio="600" firstSheet="0" activeTab="3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全局参数" sheetId="2" state="visible" r:id="rId2"/>
    <sheet xmlns:r="http://schemas.openxmlformats.org/officeDocument/2006/relationships" name="阶段配置" sheetId="3" state="visible" r:id="rId3"/>
    <sheet xmlns:r="http://schemas.openxmlformats.org/officeDocument/2006/relationships" name="升级经验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8" borderId="6" applyAlignment="1">
      <alignment vertical="center"/>
    </xf>
    <xf numFmtId="0" fontId="11" fillId="9" borderId="7" applyAlignment="1">
      <alignment vertical="center"/>
    </xf>
    <xf numFmtId="0" fontId="12" fillId="9" borderId="6" applyAlignment="1">
      <alignment vertical="center"/>
    </xf>
    <xf numFmtId="0" fontId="13" fillId="10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8" customWidth="1" min="1" max="2"/>
    <col width="92" customWidth="1" min="3" max="3"/>
  </cols>
  <sheetData>
    <row r="1" ht="24" customHeight="1">
      <c r="A1" s="1" t="inlineStr">
        <is>
          <t>区域</t>
        </is>
      </c>
      <c r="B1" s="1" t="inlineStr">
        <is>
          <t>怎么改</t>
        </is>
      </c>
      <c r="C1" s="1" t="inlineStr">
        <is>
          <t>说明</t>
        </is>
      </c>
    </row>
    <row r="2" ht="38" customHeight="1">
      <c r="A2" s="2" t="inlineStr">
        <is>
          <t>这份表的用途</t>
        </is>
      </c>
      <c r="B2" s="9" t="inlineStr">
        <is>
          <t>后续你直接改这里</t>
        </is>
      </c>
      <c r="C2" s="8" t="inlineStr">
        <is>
          <t>你修改这份 Excel 之后，我就按这里的值去同步 Godot 里的运行配置、阶段配置和经验曲线。</t>
        </is>
      </c>
    </row>
    <row r="3" ht="38" customHeight="1">
      <c r="A3" s="2" t="inlineStr">
        <is>
          <t>黄色单元格</t>
        </is>
      </c>
      <c r="B3" s="9" t="inlineStr">
        <is>
          <t>可以直接改</t>
        </is>
      </c>
      <c r="C3" s="8" t="inlineStr">
        <is>
          <t>黄色是建议你直接修改的参数。</t>
        </is>
      </c>
    </row>
    <row r="4" ht="38" customHeight="1">
      <c r="A4" s="2" t="inlineStr">
        <is>
          <t>绿色单元格</t>
        </is>
      </c>
      <c r="B4" s="9" t="inlineStr">
        <is>
          <t>通常不用手改</t>
        </is>
      </c>
      <c r="C4" s="8" t="inlineStr">
        <is>
          <t>绿色一般是公式或推导值，用来辅助你看节奏变化。</t>
        </is>
      </c>
    </row>
    <row r="5" ht="38" customHeight="1">
      <c r="A5" s="2" t="inlineStr">
        <is>
          <t>全局参数</t>
        </is>
      </c>
      <c r="B5" s="9" t="inlineStr">
        <is>
          <t>改基础规则</t>
        </is>
      </c>
      <c r="C5" s="8" t="inlineStr">
        <is>
          <t>这里放初始地图、初始速度、初始长度、突进窗口、升级后保护时间等整局共用参数。</t>
        </is>
      </c>
    </row>
    <row r="6" ht="38" customHeight="1">
      <c r="A6" s="2" t="inlineStr">
        <is>
          <t>阶段配置</t>
        </is>
      </c>
      <c r="B6" s="9" t="inlineStr">
        <is>
          <t>改每阶段节奏</t>
        </is>
      </c>
      <c r="C6" s="8" t="inlineStr">
        <is>
          <t>这里放每一阶段的目标分数、时长、地图大小、豆子数量，以及预留的障碍/难度标签。</t>
        </is>
      </c>
    </row>
    <row r="7" ht="38" customHeight="1">
      <c r="A7" s="2" t="inlineStr">
        <is>
          <t>升级经验</t>
        </is>
      </c>
      <c r="B7" s="9" t="inlineStr">
        <is>
          <t>改升级节奏</t>
        </is>
      </c>
      <c r="C7" s="8" t="inlineStr">
        <is>
          <t>这里放每一级升级需要的累计经验值。</t>
        </is>
      </c>
    </row>
    <row r="8" ht="38" customHeight="1">
      <c r="A8" s="2" t="inlineStr">
        <is>
          <t>扩展行</t>
        </is>
      </c>
      <c r="B8" s="9" t="inlineStr">
        <is>
          <t>可以继续往下加</t>
        </is>
      </c>
      <c r="C8" s="8" t="inlineStr">
        <is>
          <t>阶段配置和升级经验都可以继续新增行；保持表头不变即可。</t>
        </is>
      </c>
    </row>
    <row r="9" ht="38" customHeight="1">
      <c r="A9" s="2" t="inlineStr">
        <is>
          <t>当前建议</t>
        </is>
      </c>
      <c r="B9" s="9" t="inlineStr">
        <is>
          <t>已按你的新想法预填</t>
        </is>
      </c>
      <c r="C9" s="8" t="inlineStr">
        <is>
          <t>第 1 阶段现在预填为 20x20 地图、1 颗豆，后续阶段的地图与豆子数量逐步增长。</t>
        </is>
      </c>
    </row>
    <row r="10" ht="38" customHeight="1">
      <c r="A10" s="2" t="inlineStr">
        <is>
          <t>相关表格</t>
        </is>
      </c>
      <c r="B10" s="9" t="inlineStr">
        <is>
          <t>升级设计仍看另一份表</t>
        </is>
      </c>
      <c r="C10" s="8" t="inlineStr">
        <is>
          <t>单个升级的名称、描述、等级数值仍然看 upgrade_options_review.xlsx，这份表偏向整局节奏与关卡参数。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activeCell="A1" sqref="A1"/>
      <selection pane="bottomLeft" activeCell="C10" sqref="C10"/>
    </sheetView>
  </sheetViews>
  <sheetFormatPr baseColWidth="8" defaultColWidth="9" defaultRowHeight="16.8"/>
  <cols>
    <col width="14" customWidth="1" min="1" max="1"/>
    <col width="36" customWidth="1" min="2" max="2"/>
    <col width="14" customWidth="1" min="3" max="3"/>
    <col width="12" customWidth="1" min="4" max="4"/>
    <col width="16" customWidth="1" min="5" max="5"/>
    <col width="52" customWidth="1" min="6" max="6"/>
  </cols>
  <sheetData>
    <row r="1" ht="24" customHeight="1">
      <c r="A1" s="1" t="inlineStr">
        <is>
          <t>参数分类</t>
        </is>
      </c>
      <c r="B1" s="1" t="inlineStr">
        <is>
          <t>参数ID</t>
        </is>
      </c>
      <c r="C1" s="1" t="inlineStr">
        <is>
          <t>当前值</t>
        </is>
      </c>
      <c r="D1" s="1" t="inlineStr">
        <is>
          <t>单位</t>
        </is>
      </c>
      <c r="E1" s="1" t="inlineStr">
        <is>
          <t>建议范围</t>
        </is>
      </c>
      <c r="F1" s="1" t="inlineStr">
        <is>
          <t>说明</t>
        </is>
      </c>
    </row>
    <row r="2" ht="28" customHeight="1">
      <c r="A2" s="2" t="inlineStr">
        <is>
          <t>地图</t>
        </is>
      </c>
      <c r="B2" s="2" t="inlineStr">
        <is>
          <t>initial_board_width</t>
        </is>
      </c>
      <c r="C2" s="5" t="n">
        <v>20</v>
      </c>
      <c r="D2" s="8" t="inlineStr">
        <is>
          <t>格</t>
        </is>
      </c>
      <c r="E2" s="8" t="inlineStr">
        <is>
          <t>10-200</t>
        </is>
      </c>
      <c r="F2" s="8" t="inlineStr">
        <is>
          <t>第 1 阶段的地图宽度。</t>
        </is>
      </c>
    </row>
    <row r="3" ht="28" customHeight="1">
      <c r="A3" s="2" t="inlineStr">
        <is>
          <t>地图</t>
        </is>
      </c>
      <c r="B3" s="2" t="inlineStr">
        <is>
          <t>initial_board_height</t>
        </is>
      </c>
      <c r="C3" s="5" t="n">
        <v>20</v>
      </c>
      <c r="D3" s="8" t="inlineStr">
        <is>
          <t>格</t>
        </is>
      </c>
      <c r="E3" s="8" t="inlineStr">
        <is>
          <t>10-200</t>
        </is>
      </c>
      <c r="F3" s="8" t="inlineStr">
        <is>
          <t>第 1 阶段的地图高度。</t>
        </is>
      </c>
    </row>
    <row r="4" ht="28" customHeight="1">
      <c r="A4" s="2" t="inlineStr">
        <is>
          <t>地图</t>
        </is>
      </c>
      <c r="B4" s="2" t="inlineStr">
        <is>
          <t>cell_size_px</t>
        </is>
      </c>
      <c r="C4" s="5" t="n">
        <v>12</v>
      </c>
      <c r="D4" s="8" t="inlineStr">
        <is>
          <t>px</t>
        </is>
      </c>
      <c r="E4" s="8" t="inlineStr">
        <is>
          <t>4-32</t>
        </is>
      </c>
      <c r="F4" s="8" t="inlineStr">
        <is>
          <t>单格显示大小，只影响视觉显示。</t>
        </is>
      </c>
    </row>
    <row r="5" ht="28" customHeight="1">
      <c r="A5" s="2" t="inlineStr">
        <is>
          <t>蛇</t>
        </is>
      </c>
      <c r="B5" s="2" t="inlineStr">
        <is>
          <t>initial_snake_length</t>
        </is>
      </c>
      <c r="C5" s="5" t="n">
        <v>4</v>
      </c>
      <c r="D5" s="8" t="inlineStr">
        <is>
          <t>节</t>
        </is>
      </c>
      <c r="E5" s="8" t="inlineStr">
        <is>
          <t>2-12</t>
        </is>
      </c>
      <c r="F5" s="8" t="inlineStr">
        <is>
          <t>开局蛇身长度。</t>
        </is>
      </c>
    </row>
    <row r="6" ht="28" customHeight="1">
      <c r="A6" s="2" t="inlineStr">
        <is>
          <t>蛇</t>
        </is>
      </c>
      <c r="B6" s="2" t="inlineStr">
        <is>
          <t>initial_direction</t>
        </is>
      </c>
      <c r="C6" s="5" t="inlineStr">
        <is>
          <t>RIGHT</t>
        </is>
      </c>
      <c r="D6" s="8" t="inlineStr">
        <is>
          <t>-</t>
        </is>
      </c>
      <c r="E6" s="8" t="inlineStr">
        <is>
          <t>UP/DOWN/LEFT/RIGHT</t>
        </is>
      </c>
      <c r="F6" s="8" t="inlineStr">
        <is>
          <t>开局默认朝向。</t>
        </is>
      </c>
    </row>
    <row r="7" ht="28" customHeight="1">
      <c r="A7" s="2" t="inlineStr">
        <is>
          <t>豆子</t>
        </is>
      </c>
      <c r="B7" s="2" t="inlineStr">
        <is>
          <t>initial_bean_count</t>
        </is>
      </c>
      <c r="C7" s="5" t="n">
        <v>4</v>
      </c>
      <c r="D7" s="8" t="inlineStr">
        <is>
          <t>个</t>
        </is>
      </c>
      <c r="E7" s="8" t="inlineStr">
        <is>
          <t>1-80</t>
        </is>
      </c>
      <c r="F7" s="8" t="inlineStr">
        <is>
          <t>第 1 阶段同屏普通豆数量，不包含额外暴击豆。</t>
        </is>
      </c>
    </row>
    <row r="8" ht="28" customHeight="1">
      <c r="A8" s="2" t="inlineStr">
        <is>
          <t>暴击豆</t>
        </is>
      </c>
      <c r="B8" s="2" t="inlineStr">
        <is>
          <t>critical_bean_initial_min_score</t>
        </is>
      </c>
      <c r="C8" s="5" t="n">
        <v>5</v>
      </c>
      <c r="D8" s="8" t="inlineStr">
        <is>
          <t>分</t>
        </is>
      </c>
      <c r="E8" s="8" t="inlineStr">
        <is>
          <t>1-999</t>
        </is>
      </c>
      <c r="F8" s="8" t="inlineStr">
        <is>
          <t>暴击豆未升级前的最低得分。</t>
        </is>
      </c>
    </row>
    <row r="9" ht="28" customHeight="1">
      <c r="A9" s="2" t="inlineStr">
        <is>
          <t>移动</t>
        </is>
      </c>
      <c r="B9" s="2" t="inlineStr">
        <is>
          <t>initial_step_interval_ms</t>
        </is>
      </c>
      <c r="C9" s="5" t="n">
        <v>90</v>
      </c>
      <c r="D9" s="8" t="inlineStr">
        <is>
          <t>毫秒/步</t>
        </is>
      </c>
      <c r="E9" s="8" t="inlineStr">
        <is>
          <t>30-300</t>
        </is>
      </c>
      <c r="F9" s="8" t="inlineStr">
        <is>
          <t>开局移动间隔，数值越小越快。</t>
        </is>
      </c>
    </row>
    <row r="10" ht="28" customHeight="1">
      <c r="A10" s="2" t="inlineStr">
        <is>
          <t>移动</t>
        </is>
      </c>
      <c r="B10" s="2" t="inlineStr">
        <is>
          <t>minimum_step_interval_ms</t>
        </is>
      </c>
      <c r="C10" s="5" t="n">
        <v>30</v>
      </c>
      <c r="D10" s="8" t="inlineStr">
        <is>
          <t>毫秒/步</t>
        </is>
      </c>
      <c r="E10" s="8" t="inlineStr">
        <is>
          <t>20-200</t>
        </is>
      </c>
      <c r="F10" s="8" t="inlineStr">
        <is>
          <t>移动加速升级能压到的最低间隔。</t>
        </is>
      </c>
    </row>
    <row r="11" ht="28" customHeight="1">
      <c r="A11" s="2" t="inlineStr">
        <is>
          <t>升级</t>
        </is>
      </c>
      <c r="B11" s="2" t="inlineStr">
        <is>
          <t>post_upgrade_invulnerability_seconds</t>
        </is>
      </c>
      <c r="C11" s="5" t="n">
        <v>0.5</v>
      </c>
      <c r="D11" s="8" t="inlineStr">
        <is>
          <t>秒</t>
        </is>
      </c>
      <c r="E11" s="8" t="inlineStr">
        <is>
          <t>0-3</t>
        </is>
      </c>
      <c r="F11" s="8" t="inlineStr">
        <is>
          <t>升级选择结束后的保护时间。</t>
        </is>
      </c>
    </row>
    <row r="12" ht="28" customHeight="1">
      <c r="A12" s="2" t="inlineStr">
        <is>
          <t>阶段</t>
        </is>
      </c>
      <c r="B12" s="2" t="inlineStr">
        <is>
          <t>stage_transition_pause_seconds</t>
        </is>
      </c>
      <c r="C12" s="5" t="n">
        <v>0.5</v>
      </c>
      <c r="D12" s="8" t="inlineStr">
        <is>
          <t>秒</t>
        </is>
      </c>
      <c r="E12" s="8" t="inlineStr">
        <is>
          <t>0-5</t>
        </is>
      </c>
      <c r="F12" s="8" t="inlineStr">
        <is>
          <t>阶段切换时默认停顿时间。</t>
        </is>
      </c>
    </row>
    <row r="13" ht="28" customHeight="1">
      <c r="A13" s="2" t="inlineStr">
        <is>
          <t>突进</t>
        </is>
      </c>
      <c r="B13" s="2" t="inlineStr">
        <is>
          <t>dash_distance</t>
        </is>
      </c>
      <c r="C13" s="5" t="n">
        <v>3</v>
      </c>
      <c r="D13" s="8" t="inlineStr">
        <is>
          <t>格</t>
        </is>
      </c>
      <c r="E13" s="8" t="inlineStr">
        <is>
          <t>1-8</t>
        </is>
      </c>
      <c r="F13" s="8" t="inlineStr">
        <is>
          <t>触发突进时，连续前进多少格。</t>
        </is>
      </c>
    </row>
    <row r="14" ht="28" customHeight="1">
      <c r="A14" s="2" t="inlineStr">
        <is>
          <t>突进</t>
        </is>
      </c>
      <c r="B14" s="2" t="inlineStr">
        <is>
          <t>dash_double_tap_window_seconds</t>
        </is>
      </c>
      <c r="C14" s="5" t="n">
        <v>0.22</v>
      </c>
      <c r="D14" s="8" t="inlineStr">
        <is>
          <t>秒</t>
        </is>
      </c>
      <c r="E14" s="8" t="inlineStr">
        <is>
          <t>0.05-0.50</t>
        </is>
      </c>
      <c r="F14" s="8" t="inlineStr">
        <is>
          <t>双击同方向触发突进的判定窗口。</t>
        </is>
      </c>
    </row>
    <row r="15" ht="28" customHeight="1">
      <c r="A15" s="2" t="inlineStr">
        <is>
          <t>阶段扩展</t>
        </is>
      </c>
      <c r="B15" s="2" t="inlineStr">
        <is>
          <t>overflow_score_increment_start</t>
        </is>
      </c>
      <c r="C15" s="5" t="n">
        <v>35</v>
      </c>
      <c r="D15" s="8" t="inlineStr">
        <is>
          <t>分</t>
        </is>
      </c>
      <c r="E15" s="8" t="inlineStr">
        <is>
          <t>1-200</t>
        </is>
      </c>
      <c r="F15" s="8" t="inlineStr">
        <is>
          <t>当阶段数超过手工配置行数时，新增阶段的首个目标分增量。</t>
        </is>
      </c>
    </row>
    <row r="16" ht="28" customHeight="1">
      <c r="A16" s="2" t="inlineStr">
        <is>
          <t>阶段扩展</t>
        </is>
      </c>
      <c r="B16" s="2" t="inlineStr">
        <is>
          <t>overflow_score_increment_step</t>
        </is>
      </c>
      <c r="C16" s="5" t="n">
        <v>5</v>
      </c>
      <c r="D16" s="8" t="inlineStr">
        <is>
          <t>分</t>
        </is>
      </c>
      <c r="E16" s="8" t="inlineStr">
        <is>
          <t>0-50</t>
        </is>
      </c>
      <c r="F16" s="8" t="inlineStr">
        <is>
          <t>当阶段数超过手工配置行数时，每阶段额外再增加多少目标分。</t>
        </is>
      </c>
    </row>
    <row r="17" ht="28" customHeight="1">
      <c r="A17" s="2" t="inlineStr">
        <is>
          <t>经验扩展</t>
        </is>
      </c>
      <c r="B17" s="2" t="inlineStr">
        <is>
          <t>level_threshold_overflow_step</t>
        </is>
      </c>
      <c r="C17" s="5" t="n">
        <v>3</v>
      </c>
      <c r="D17" s="8" t="inlineStr">
        <is>
          <t>经验/级</t>
        </is>
      </c>
      <c r="E17" s="8" t="inlineStr">
        <is>
          <t>1-200</t>
        </is>
      </c>
      <c r="F17" s="8" t="inlineStr">
        <is>
          <t>当等级超过手工配置行数时，每级新增经验继续再增加多少。</t>
        </is>
      </c>
    </row>
    <row r="18" ht="28" customHeight="1">
      <c r="A18" s="2" t="inlineStr">
        <is>
          <t>暴击豆</t>
        </is>
      </c>
      <c r="B18" s="2" t="inlineStr">
        <is>
          <t>critical_bean_initial_max_score</t>
        </is>
      </c>
      <c r="C18" s="5" t="n">
        <v>10</v>
      </c>
      <c r="D18" s="8" t="inlineStr">
        <is>
          <t>分</t>
        </is>
      </c>
      <c r="E18" s="8" t="inlineStr">
        <is>
          <t>1-999</t>
        </is>
      </c>
      <c r="F18" s="8" t="inlineStr">
        <is>
          <t>暴击豆未升级前的最高得分。</t>
        </is>
      </c>
    </row>
    <row r="19" ht="28" customHeight="1">
      <c r="A19" s="2" t="inlineStr">
        <is>
          <t>暴击豆</t>
        </is>
      </c>
      <c r="B19" s="2" t="inlineStr">
        <is>
          <t>critical_bean_lifetime_seconds</t>
        </is>
      </c>
      <c r="C19" s="5" t="n">
        <v>5</v>
      </c>
      <c r="D19" s="8" t="inlineStr">
        <is>
          <t>秒</t>
        </is>
      </c>
      <c r="E19" s="8" t="inlineStr">
        <is>
          <t>1-60</t>
        </is>
      </c>
      <c r="F19" s="8" t="inlineStr">
        <is>
          <t>暴击豆出现后的初始存活时间。</t>
        </is>
      </c>
    </row>
    <row r="20" ht="28" customHeight="1">
      <c r="A20" s="2" t="inlineStr">
        <is>
          <t>暴击豆</t>
        </is>
      </c>
      <c r="B20" s="2" t="inlineStr">
        <is>
          <t>critical_bean_lifetime_upgrade_seconds</t>
        </is>
      </c>
      <c r="C20" s="5" t="n">
        <v>3</v>
      </c>
      <c r="D20" s="8" t="inlineStr">
        <is>
          <t>秒/级</t>
        </is>
      </c>
      <c r="E20" s="8" t="inlineStr">
        <is>
          <t>1-20</t>
        </is>
      </c>
      <c r="F20" s="8" t="inlineStr">
        <is>
          <t>每次“暴击豆留存”升级额外增加的存活时间。</t>
        </is>
      </c>
    </row>
    <row r="21" ht="28" customHeight="1">
      <c r="A21" s="2" t="inlineStr">
        <is>
          <t>暴击豆</t>
        </is>
      </c>
      <c r="B21" s="2" t="inlineStr">
        <is>
          <t>critical_bean_spawn_interval_seconds</t>
        </is>
      </c>
      <c r="C21" s="5" t="n">
        <v>8</v>
      </c>
      <c r="D21" s="8" t="inlineStr">
        <is>
          <t>秒</t>
        </is>
      </c>
      <c r="E21" s="8" t="inlineStr">
        <is>
          <t>1-60</t>
        </is>
      </c>
      <c r="F21" s="8" t="inlineStr">
        <is>
          <t>暴击豆基础刷新间隔。</t>
        </is>
      </c>
    </row>
    <row r="22" ht="28" customHeight="1">
      <c r="A22" s="2" t="inlineStr">
        <is>
          <t>暴击豆</t>
        </is>
      </c>
      <c r="B22" s="2" t="inlineStr">
        <is>
          <t>critical_bean_spawn_interval_random_seconds</t>
        </is>
      </c>
      <c r="C22" s="5" t="n">
        <v>4</v>
      </c>
      <c r="D22" s="8" t="inlineStr">
        <is>
          <t>秒</t>
        </is>
      </c>
      <c r="E22" s="8" t="inlineStr">
        <is>
          <t>0-60</t>
        </is>
      </c>
      <c r="F22" s="8" t="inlineStr">
        <is>
          <t>在基础刷新间隔上额外追加的随机时间。</t>
        </is>
      </c>
    </row>
    <row r="23" ht="28" customHeight="1">
      <c r="A23" s="2" t="inlineStr">
        <is>
          <t>暴击豆</t>
        </is>
      </c>
      <c r="B23" s="2" t="inlineStr">
        <is>
          <t>critical_bean_max_active</t>
        </is>
      </c>
      <c r="C23" s="5" t="n">
        <v>1</v>
      </c>
      <c r="D23" s="8" t="inlineStr">
        <is>
          <t>个</t>
        </is>
      </c>
      <c r="E23" s="8" t="inlineStr">
        <is>
          <t>1-10</t>
        </is>
      </c>
      <c r="F23" s="8" t="inlineStr">
        <is>
          <t>同屏最多同时存在多少颗暴击豆。</t>
        </is>
      </c>
    </row>
    <row r="24" ht="28" customHeight="1">
      <c r="A24" s="2" t="inlineStr">
        <is>
          <t>暴击豆</t>
        </is>
      </c>
      <c r="B24" s="2" t="inlineStr">
        <is>
          <t>critical_bean_floor_upgrade_step</t>
        </is>
      </c>
      <c r="C24" s="5" t="n">
        <v>3</v>
      </c>
      <c r="D24" s="8" t="inlineStr">
        <is>
          <t>分/级</t>
        </is>
      </c>
      <c r="E24" s="8" t="inlineStr">
        <is>
          <t>1-50</t>
        </is>
      </c>
      <c r="F24" s="8" t="inlineStr">
        <is>
          <t>每次“暴击豆下限”升级额外增加多少最低分。</t>
        </is>
      </c>
    </row>
    <row r="25" ht="28" customHeight="1">
      <c r="A25" s="2" t="inlineStr">
        <is>
          <t>暴击豆</t>
        </is>
      </c>
      <c r="B25" s="2" t="inlineStr">
        <is>
          <t>critical_bean_ceiling_upgrade_step</t>
        </is>
      </c>
      <c r="C25" s="5" t="n">
        <v>10</v>
      </c>
      <c r="D25" s="8" t="inlineStr">
        <is>
          <t>分/级</t>
        </is>
      </c>
      <c r="E25" s="8" t="inlineStr">
        <is>
          <t>1-100</t>
        </is>
      </c>
      <c r="F25" s="8" t="inlineStr">
        <is>
          <t>每次“暴击豆上限”升级额外增加多少最高分。</t>
        </is>
      </c>
    </row>
    <row r="26" ht="28" customHeight="1">
      <c r="A26" s="2" t="inlineStr">
        <is>
          <t>暴击豆</t>
        </is>
      </c>
      <c r="B26" s="2" t="inlineStr">
        <is>
          <t>critical_bean_score_distribution</t>
        </is>
      </c>
      <c r="C26" s="5" t="inlineStr">
        <is>
          <t>左偏钟形</t>
        </is>
      </c>
      <c r="D26" s="8" t="inlineStr">
        <is>
          <t>-</t>
        </is>
      </c>
      <c r="E26" s="8" t="inlineStr">
        <is>
          <t>左偏钟形</t>
        </is>
      </c>
      <c r="F26" s="8" t="inlineStr">
        <is>
          <t>低分最常见，中段偶尔出现，高分稀有，不使用均匀分布。</t>
        </is>
      </c>
    </row>
    <row r="27" ht="28" customHeight="1">
      <c r="A27" s="2" t="inlineStr">
        <is>
          <t>阶段</t>
        </is>
      </c>
      <c r="B27" s="2" t="inlineStr">
        <is>
          <t>initial_stage_time_seconds</t>
        </is>
      </c>
      <c r="C27" s="5" t="n">
        <v>60</v>
      </c>
      <c r="D27" s="8" t="inlineStr">
        <is>
          <t>秒</t>
        </is>
      </c>
      <c r="E27" s="8" t="inlineStr">
        <is>
          <t>10-600</t>
        </is>
      </c>
      <c r="F27" s="8" t="inlineStr">
        <is>
          <t>开局进入第 1 阶段时的初始剩余时间。</t>
        </is>
      </c>
    </row>
    <row r="28" ht="28" customHeight="1">
      <c r="A28" s="2" t="inlineStr">
        <is>
          <t>阶段</t>
        </is>
      </c>
      <c r="B28" s="2" t="inlineStr">
        <is>
          <t>stage_clear_bonus_seconds</t>
        </is>
      </c>
      <c r="C28" s="5" t="n">
        <v>60</v>
      </c>
      <c r="D28" s="8" t="inlineStr">
        <is>
          <t>秒</t>
        </is>
      </c>
      <c r="E28" s="8" t="inlineStr">
        <is>
          <t>0-600</t>
        </is>
      </c>
      <c r="F28" s="8" t="inlineStr">
        <is>
          <t>每次阶段完成后，在当前剩余时间基础上额外增加的时间。</t>
        </is>
      </c>
    </row>
    <row r="29" ht="28" customHeight="1">
      <c r="A29" s="2" t="inlineStr">
        <is>
          <t>升级池</t>
        </is>
      </c>
      <c r="B29" s="2" t="inlineStr">
        <is>
          <t>default_upgrade_weight</t>
        </is>
      </c>
      <c r="C29" s="5" t="n">
        <v>1</v>
      </c>
      <c r="D29" s="8" t="inlineStr">
        <is>
          <t>权重</t>
        </is>
      </c>
      <c r="E29" s="8" t="inlineStr">
        <is>
          <t>1-10</t>
        </is>
      </c>
      <c r="F29" s="8" t="inlineStr">
        <is>
          <t>大部分升级的默认抽取权重。</t>
        </is>
      </c>
    </row>
    <row r="30" ht="28" customHeight="1">
      <c r="A30" s="2" t="inlineStr">
        <is>
          <t>升级池</t>
        </is>
      </c>
      <c r="B30" s="2" t="inlineStr">
        <is>
          <t>move_speed_up_weight</t>
        </is>
      </c>
      <c r="C30" s="5" t="n">
        <v>3</v>
      </c>
      <c r="D30" s="8" t="inlineStr">
        <is>
          <t>权重</t>
        </is>
      </c>
      <c r="E30" s="8" t="inlineStr">
        <is>
          <t>1-10</t>
        </is>
      </c>
      <c r="F30" s="8" t="inlineStr">
        <is>
          <t>移动加速升级的抽取权重，当前高于其他常规升级。</t>
        </is>
      </c>
    </row>
    <row r="31" ht="28" customHeight="1">
      <c r="A31" s="2" t="inlineStr">
        <is>
          <t>输入</t>
        </is>
      </c>
      <c r="B31" s="2" t="inlineStr">
        <is>
          <t>pause_key</t>
        </is>
      </c>
      <c r="C31" s="5" t="inlineStr">
        <is>
          <t>P</t>
        </is>
      </c>
      <c r="D31" s="8" t="inlineStr">
        <is>
          <t>键位</t>
        </is>
      </c>
      <c r="E31" s="8" t="inlineStr">
        <is>
          <t>任意单键</t>
        </is>
      </c>
      <c r="F31" s="8" t="inlineStr">
        <is>
          <t>局内暂停键。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activeCell="A1" sqref="A1"/>
      <selection pane="bottomLeft" activeCell="J14" sqref="J14"/>
    </sheetView>
  </sheetViews>
  <sheetFormatPr baseColWidth="8" defaultColWidth="9" defaultRowHeight="16.8"/>
  <cols>
    <col width="8" customWidth="1" min="1" max="1"/>
    <col width="14" customWidth="1" min="2" max="2"/>
    <col width="27.3942307692308" customWidth="1" min="3" max="3"/>
    <col width="14" customWidth="1" min="4" max="4"/>
    <col width="12" customWidth="1" min="5" max="8"/>
    <col width="22.1057692307692" customWidth="1" min="9" max="9"/>
    <col width="20" customWidth="1" min="10" max="10"/>
    <col width="18" customWidth="1" min="11" max="11"/>
    <col width="34" customWidth="1" min="12" max="12"/>
  </cols>
  <sheetData>
    <row r="1" ht="24" customHeight="1">
      <c r="A1" s="1" t="inlineStr">
        <is>
          <t>阶段</t>
        </is>
      </c>
      <c r="B1" s="1" t="inlineStr">
        <is>
          <t>目标累计分数</t>
        </is>
      </c>
      <c r="C1" s="1" t="inlineStr">
        <is>
          <t>相较上阶段新增目标分</t>
        </is>
      </c>
      <c r="D1" s="1" t="inlineStr">
        <is>
          <t>每阶段通关加时(秒)</t>
        </is>
      </c>
      <c r="E1" s="1" t="inlineStr">
        <is>
          <t>地图宽(格)</t>
        </is>
      </c>
      <c r="F1" s="1" t="inlineStr">
        <is>
          <t>地图高(格)</t>
        </is>
      </c>
      <c r="G1" s="1" t="inlineStr">
        <is>
          <t>地图面积</t>
        </is>
      </c>
      <c r="H1" s="1" t="inlineStr">
        <is>
          <t>同屏普通豆子数</t>
        </is>
      </c>
      <c r="I1" s="1" t="inlineStr">
        <is>
          <t>平均每颗豆可用面积</t>
        </is>
      </c>
      <c r="J1" s="1" t="inlineStr">
        <is>
          <t>预留障碍布局</t>
        </is>
      </c>
      <c r="K1" s="1" t="inlineStr">
        <is>
          <t>预留难度标签</t>
        </is>
      </c>
      <c r="L1" s="1" t="inlineStr">
        <is>
          <t>备注</t>
        </is>
      </c>
    </row>
    <row r="2" ht="28" customHeight="1">
      <c r="A2" s="2" t="n">
        <v>1</v>
      </c>
      <c r="B2" s="3" t="n">
        <v>20</v>
      </c>
      <c r="C2" s="4">
        <f>B2-IF(A2=1,0,B1)</f>
        <v/>
      </c>
      <c r="D2" s="5" t="n">
        <v>60</v>
      </c>
      <c r="E2" s="5" t="n">
        <v>20</v>
      </c>
      <c r="F2" s="5" t="n">
        <v>20</v>
      </c>
      <c r="G2" s="4">
        <f>E2*F2</f>
        <v/>
      </c>
      <c r="H2" s="5" t="n">
        <v>4</v>
      </c>
      <c r="I2" s="4">
        <f>IF(H2&gt;0,G2/H2,0)</f>
        <v/>
      </c>
      <c r="J2" s="5" t="inlineStr"/>
      <c r="K2" s="5" t="inlineStr"/>
      <c r="L2" s="5" t="inlineStr">
        <is>
          <t>第 1 阶段初始剩余时间来自全局参数 initial_stage_time_seconds。</t>
        </is>
      </c>
    </row>
    <row r="3" ht="28" customHeight="1">
      <c r="A3" s="2" t="n">
        <v>2</v>
      </c>
      <c r="B3" s="3" t="n">
        <v>45</v>
      </c>
      <c r="C3" s="4">
        <f>B3-IF(A3=1,0,B2)</f>
        <v/>
      </c>
      <c r="D3" s="5" t="n">
        <v>60</v>
      </c>
      <c r="E3" s="5" t="n">
        <v>20</v>
      </c>
      <c r="F3" s="5" t="n">
        <v>20</v>
      </c>
      <c r="G3" s="4">
        <f>E3*F3</f>
        <v/>
      </c>
      <c r="H3" s="5" t="n">
        <v>8</v>
      </c>
      <c r="I3" s="4">
        <f>IF(H3&gt;0,G3/H3,0)</f>
        <v/>
      </c>
      <c r="J3" s="5" t="inlineStr"/>
      <c r="K3" s="5" t="inlineStr"/>
      <c r="L3" s="5" t="inlineStr">
        <is>
          <t>第 2 阶段维持同尺寸，只增加普通豆数量。</t>
        </is>
      </c>
    </row>
    <row r="4" ht="28" customHeight="1">
      <c r="A4" s="2" t="n">
        <v>3</v>
      </c>
      <c r="B4" s="3" t="n">
        <v>75</v>
      </c>
      <c r="C4" s="4">
        <f>B4-IF(A4=1,0,B3)</f>
        <v/>
      </c>
      <c r="D4" s="5" t="n">
        <v>60</v>
      </c>
      <c r="E4" s="5" t="n">
        <v>28</v>
      </c>
      <c r="F4" s="5" t="n">
        <v>28</v>
      </c>
      <c r="G4" s="4">
        <f>E4*F4</f>
        <v/>
      </c>
      <c r="H4" s="5" t="n">
        <v>12</v>
      </c>
      <c r="I4" s="4">
        <f>IF(H4&gt;0,G4/H4,0)</f>
        <v/>
      </c>
      <c r="J4" s="5" t="inlineStr"/>
      <c r="K4" s="5" t="inlineStr"/>
      <c r="L4" s="5" t="inlineStr">
        <is>
          <t>第 3 阶段开始第一次扩图。</t>
        </is>
      </c>
    </row>
    <row r="5" ht="28" customHeight="1">
      <c r="A5" s="2" t="n">
        <v>4</v>
      </c>
      <c r="B5" s="3" t="n">
        <v>110</v>
      </c>
      <c r="C5" s="4">
        <f>B5-IF(A5=1,0,B4)</f>
        <v/>
      </c>
      <c r="D5" s="5" t="n">
        <v>60</v>
      </c>
      <c r="E5" s="5" t="n">
        <v>28</v>
      </c>
      <c r="F5" s="5" t="n">
        <v>28</v>
      </c>
      <c r="G5" s="4">
        <f>E5*F5</f>
        <v/>
      </c>
      <c r="H5" s="5" t="n">
        <v>16</v>
      </c>
      <c r="I5" s="4">
        <f>IF(H5&gt;0,G5/H5,0)</f>
        <v/>
      </c>
      <c r="J5" s="5" t="inlineStr"/>
      <c r="K5" s="5" t="inlineStr"/>
      <c r="L5" s="5" t="inlineStr">
        <is>
          <t>第 4 阶段维持同尺寸，继续加豆。</t>
        </is>
      </c>
    </row>
    <row r="6" ht="28" customHeight="1">
      <c r="A6" s="2" t="n">
        <v>5</v>
      </c>
      <c r="B6" s="3" t="n">
        <v>150</v>
      </c>
      <c r="C6" s="4">
        <f>B6-IF(A6=1,0,B5)</f>
        <v/>
      </c>
      <c r="D6" s="5" t="n">
        <v>60</v>
      </c>
      <c r="E6" s="5" t="n">
        <v>36</v>
      </c>
      <c r="F6" s="5" t="n">
        <v>36</v>
      </c>
      <c r="G6" s="4">
        <f>E6*F6</f>
        <v/>
      </c>
      <c r="H6" s="5" t="n">
        <v>20</v>
      </c>
      <c r="I6" s="4">
        <f>IF(H6&gt;0,G6/H6,0)</f>
        <v/>
      </c>
      <c r="J6" s="5" t="inlineStr"/>
      <c r="K6" s="5" t="inlineStr"/>
      <c r="L6" s="5" t="inlineStr">
        <is>
          <t>第 5 阶段开始第二次扩图。</t>
        </is>
      </c>
    </row>
    <row r="7" ht="28" customHeight="1">
      <c r="A7" s="2" t="n">
        <v>6</v>
      </c>
      <c r="B7" s="3" t="n">
        <v>195</v>
      </c>
      <c r="C7" s="4">
        <f>B7-IF(A7=1,0,B6)</f>
        <v/>
      </c>
      <c r="D7" s="5" t="n">
        <v>60</v>
      </c>
      <c r="E7" s="5" t="n">
        <v>36</v>
      </c>
      <c r="F7" s="5" t="n">
        <v>36</v>
      </c>
      <c r="G7" s="4">
        <f>E7*F7</f>
        <v/>
      </c>
      <c r="H7" s="5" t="n">
        <v>24</v>
      </c>
      <c r="I7" s="4">
        <f>IF(H7&gt;0,G7/H7,0)</f>
        <v/>
      </c>
      <c r="J7" s="5" t="inlineStr"/>
      <c r="K7" s="5" t="inlineStr"/>
      <c r="L7" s="5" t="inlineStr">
        <is>
          <t>第 6 阶段维持同尺寸，蛇身与找豆压力继续上升。</t>
        </is>
      </c>
    </row>
    <row r="8" ht="28" customHeight="1">
      <c r="A8" s="2" t="n">
        <v>7</v>
      </c>
      <c r="B8" s="3" t="n">
        <v>245</v>
      </c>
      <c r="C8" s="4">
        <f>B8-IF(A8=1,0,B7)</f>
        <v/>
      </c>
      <c r="D8" s="5" t="n">
        <v>60</v>
      </c>
      <c r="E8" s="5" t="n">
        <v>44</v>
      </c>
      <c r="F8" s="5" t="n">
        <v>44</v>
      </c>
      <c r="G8" s="4">
        <f>E8*F8</f>
        <v/>
      </c>
      <c r="H8" s="5" t="n">
        <v>28</v>
      </c>
      <c r="I8" s="4">
        <f>IF(H8&gt;0,G8/H8,0)</f>
        <v/>
      </c>
      <c r="J8" s="5" t="inlineStr"/>
      <c r="K8" s="5" t="inlineStr"/>
      <c r="L8" s="5" t="inlineStr">
        <is>
          <t>第 7 阶段开始第三次扩图。</t>
        </is>
      </c>
    </row>
    <row r="9" ht="28" customHeight="1">
      <c r="A9" s="2" t="n">
        <v>8</v>
      </c>
      <c r="B9" s="3" t="n">
        <v>300</v>
      </c>
      <c r="C9" s="4">
        <f>B9-IF(A9=1,0,B8)</f>
        <v/>
      </c>
      <c r="D9" s="5" t="n">
        <v>60</v>
      </c>
      <c r="E9" s="5" t="n">
        <v>44</v>
      </c>
      <c r="F9" s="5" t="n">
        <v>44</v>
      </c>
      <c r="G9" s="4">
        <f>E9*F9</f>
        <v/>
      </c>
      <c r="H9" s="5" t="n">
        <v>32</v>
      </c>
      <c r="I9" s="4">
        <f>IF(H9&gt;0,G9/H9,0)</f>
        <v/>
      </c>
      <c r="J9" s="5" t="inlineStr"/>
      <c r="K9" s="5" t="inlineStr"/>
      <c r="L9" s="5" t="inlineStr">
        <is>
          <t>第 8 阶段维持同尺寸，信息量继续增加。</t>
        </is>
      </c>
    </row>
    <row r="10" ht="28" customHeight="1">
      <c r="A10" s="2" t="n">
        <v>9</v>
      </c>
      <c r="B10" s="3" t="n">
        <v>360</v>
      </c>
      <c r="C10" s="4">
        <f>B10-IF(A10=1,0,B9)</f>
        <v/>
      </c>
      <c r="D10" s="5" t="n">
        <v>60</v>
      </c>
      <c r="E10" s="5" t="n">
        <v>52</v>
      </c>
      <c r="F10" s="5" t="n">
        <v>52</v>
      </c>
      <c r="G10" s="4">
        <f>E10*F10</f>
        <v/>
      </c>
      <c r="H10" s="5" t="n">
        <v>36</v>
      </c>
      <c r="I10" s="4">
        <f>IF(H10&gt;0,G10/H10,0)</f>
        <v/>
      </c>
      <c r="J10" s="5" t="inlineStr"/>
      <c r="K10" s="5" t="inlineStr"/>
      <c r="L10" s="5" t="inlineStr">
        <is>
          <t>第 9 阶段开始第四次扩图。</t>
        </is>
      </c>
    </row>
    <row r="11" ht="28" customHeight="1">
      <c r="A11" s="2" t="n">
        <v>10</v>
      </c>
      <c r="B11" s="3" t="n">
        <v>425</v>
      </c>
      <c r="C11" s="4">
        <f>B11-IF(A11=1,0,B10)</f>
        <v/>
      </c>
      <c r="D11" s="5" t="n">
        <v>60</v>
      </c>
      <c r="E11" s="5" t="n">
        <v>52</v>
      </c>
      <c r="F11" s="5" t="n">
        <v>52</v>
      </c>
      <c r="G11" s="4">
        <f>E11*F11</f>
        <v/>
      </c>
      <c r="H11" s="5" t="n">
        <v>40</v>
      </c>
      <c r="I11" s="4">
        <f>IF(H11&gt;0,G11/H11,0)</f>
        <v/>
      </c>
      <c r="J11" s="5" t="inlineStr"/>
      <c r="K11" s="5" t="inlineStr"/>
      <c r="L11" s="5" t="inlineStr">
        <is>
          <t>第 10 阶段维持同尺寸，普通豆数量继续上涨。</t>
        </is>
      </c>
    </row>
    <row r="12" ht="28" customHeight="1">
      <c r="A12" s="2" t="n">
        <v>11</v>
      </c>
      <c r="B12" s="3" t="n">
        <v>495</v>
      </c>
      <c r="C12" s="4">
        <f>B12-IF(A12=1,0,B11)</f>
        <v/>
      </c>
      <c r="D12" s="5" t="n">
        <v>60</v>
      </c>
      <c r="E12" s="5" t="n">
        <v>60</v>
      </c>
      <c r="F12" s="5" t="n">
        <v>60</v>
      </c>
      <c r="G12" s="4">
        <f>E12*F12</f>
        <v/>
      </c>
      <c r="H12" s="5" t="n">
        <v>44</v>
      </c>
      <c r="I12" s="4">
        <f>IF(H12&gt;0,G12/H12,0)</f>
        <v/>
      </c>
      <c r="J12" s="5" t="inlineStr"/>
      <c r="K12" s="5" t="inlineStr"/>
      <c r="L12" s="6" t="inlineStr">
        <is>
          <t>第 11 阶段开始第五次扩图，并到达 60x60 上限。</t>
        </is>
      </c>
    </row>
    <row r="13" ht="28" customHeight="1">
      <c r="A13" s="2" t="n">
        <v>12</v>
      </c>
      <c r="B13" s="3" t="n">
        <v>570</v>
      </c>
      <c r="C13" s="4">
        <f>B13-IF(A13=1,0,B12)</f>
        <v/>
      </c>
      <c r="D13" s="5" t="n">
        <v>60</v>
      </c>
      <c r="E13" s="5" t="n">
        <v>60</v>
      </c>
      <c r="F13" s="5" t="n">
        <v>60</v>
      </c>
      <c r="G13" s="4">
        <f>E13*F13</f>
        <v/>
      </c>
      <c r="H13" s="5" t="n">
        <v>48</v>
      </c>
      <c r="I13" s="4">
        <f>IF(H13&gt;0,G13/H13,0)</f>
        <v/>
      </c>
      <c r="J13" s="5" t="inlineStr"/>
      <c r="K13" s="5" t="inlineStr"/>
      <c r="L13" t="inlineStr">
        <is>
          <t>地图封顶后不再继续扩大，后续只增加豆子、目标分和机制压力。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tabSelected="1" workbookViewId="0">
      <pane ySplit="1" topLeftCell="A2" activePane="bottomLeft" state="frozen"/>
      <selection activeCell="A1" sqref="A1"/>
      <selection pane="bottomLeft" activeCell="B8" sqref="B8"/>
    </sheetView>
  </sheetViews>
  <sheetFormatPr baseColWidth="8" defaultColWidth="9" defaultRowHeight="16.8"/>
  <cols>
    <col width="8" customWidth="1" min="1" max="1"/>
    <col width="24" customWidth="1" min="2" max="2"/>
    <col width="22" customWidth="1" min="3" max="3"/>
    <col width="46" customWidth="1" min="4" max="4"/>
  </cols>
  <sheetData>
    <row r="1" ht="24" customHeight="1">
      <c r="A1" s="1" t="inlineStr">
        <is>
          <t>等级</t>
        </is>
      </c>
      <c r="B1" s="1" t="inlineStr">
        <is>
          <t>达到该等级所需累计经验</t>
        </is>
      </c>
      <c r="C1" s="1" t="inlineStr">
        <is>
          <t>相较上一等级新增经验</t>
        </is>
      </c>
      <c r="D1" s="1" t="inlineStr">
        <is>
          <t>备注</t>
        </is>
      </c>
    </row>
    <row r="2" ht="26" customHeight="1">
      <c r="A2" s="2" t="n">
        <v>1</v>
      </c>
      <c r="B2" s="3" t="n">
        <v>0</v>
      </c>
      <c r="C2" s="4" t="n">
        <v>0</v>
      </c>
      <c r="D2" s="5" t="inlineStr">
        <is>
          <t>开局等级。</t>
        </is>
      </c>
    </row>
    <row r="3" ht="26" customHeight="1">
      <c r="A3" s="2" t="n">
        <v>2</v>
      </c>
      <c r="B3" s="3" t="n">
        <v>1</v>
      </c>
      <c r="C3" s="4">
        <f>B3-B2</f>
        <v/>
      </c>
      <c r="D3" s="5" t="inlineStr"/>
    </row>
    <row r="4" ht="26" customHeight="1">
      <c r="A4" s="2" t="n">
        <v>3</v>
      </c>
      <c r="B4" s="3" t="n">
        <v>6</v>
      </c>
      <c r="C4" s="4">
        <f>B4-B3</f>
        <v/>
      </c>
      <c r="D4" s="5" t="inlineStr"/>
    </row>
    <row r="5" ht="26" customHeight="1">
      <c r="A5" s="2" t="n">
        <v>4</v>
      </c>
      <c r="B5" s="3" t="n">
        <v>14</v>
      </c>
      <c r="C5" s="4">
        <f>B5-B4</f>
        <v/>
      </c>
      <c r="D5" s="5" t="inlineStr"/>
    </row>
    <row r="6" ht="26" customHeight="1">
      <c r="A6" s="2" t="n">
        <v>5</v>
      </c>
      <c r="B6" s="3" t="n">
        <v>25</v>
      </c>
      <c r="C6" s="4">
        <f>B6-B5</f>
        <v/>
      </c>
      <c r="D6" s="5" t="inlineStr"/>
    </row>
    <row r="7" ht="26" customHeight="1">
      <c r="A7" s="2" t="n">
        <v>6</v>
      </c>
      <c r="B7" s="3" t="n">
        <v>39</v>
      </c>
      <c r="C7" s="4">
        <f>B7-B6</f>
        <v/>
      </c>
      <c r="D7" s="5" t="inlineStr"/>
    </row>
    <row r="8" ht="26" customHeight="1">
      <c r="A8" s="2" t="n">
        <v>7</v>
      </c>
      <c r="B8" s="3" t="n">
        <v>56</v>
      </c>
      <c r="C8" s="4">
        <f>B8-B7</f>
        <v/>
      </c>
      <c r="D8" s="5" t="n"/>
    </row>
    <row r="9" ht="26" customHeight="1">
      <c r="A9" s="2" t="n">
        <v>8</v>
      </c>
      <c r="B9" s="3" t="n">
        <v>76</v>
      </c>
      <c r="C9" s="4">
        <f>B9-B8</f>
        <v/>
      </c>
      <c r="D9" s="5" t="inlineStr"/>
    </row>
    <row r="10" ht="26" customHeight="1">
      <c r="A10" s="2" t="n">
        <v>9</v>
      </c>
      <c r="B10" s="3" t="n">
        <v>99</v>
      </c>
      <c r="C10" s="4">
        <f>B10-B9</f>
        <v/>
      </c>
      <c r="D10" s="5" t="inlineStr"/>
    </row>
    <row r="11" ht="26" customHeight="1">
      <c r="A11" s="2" t="n">
        <v>10</v>
      </c>
      <c r="B11" s="3" t="n">
        <v>125</v>
      </c>
      <c r="C11" s="4">
        <f>B11-B10</f>
        <v/>
      </c>
      <c r="D11" s="5" t="inlineStr"/>
    </row>
    <row r="12" ht="26" customHeight="1">
      <c r="A12" s="2" t="n">
        <v>11</v>
      </c>
      <c r="B12" s="3" t="n">
        <v>154</v>
      </c>
      <c r="C12" s="4">
        <f>B12-B11</f>
        <v/>
      </c>
      <c r="D12" s="5" t="inlineStr"/>
    </row>
    <row r="13" ht="26" customHeight="1">
      <c r="A13" s="2" t="n">
        <v>12</v>
      </c>
      <c r="B13" s="3" t="n">
        <v>186</v>
      </c>
      <c r="C13" s="4">
        <f>B13-B12</f>
        <v/>
      </c>
      <c r="D13" s="5" t="inlineStr"/>
    </row>
    <row r="14" ht="26" customHeight="1">
      <c r="A14" s="2" t="n">
        <v>13</v>
      </c>
      <c r="B14" s="3" t="n">
        <v>221</v>
      </c>
      <c r="C14" s="4">
        <f>B14-B13</f>
        <v/>
      </c>
      <c r="D14" s="5" t="inlineStr"/>
    </row>
    <row r="15" ht="26" customHeight="1">
      <c r="A15" s="2" t="n">
        <v>14</v>
      </c>
      <c r="B15" s="3" t="n">
        <v>259</v>
      </c>
      <c r="C15" s="4">
        <f>B15-B14</f>
        <v/>
      </c>
      <c r="D15" s="5" t="inlineStr"/>
    </row>
    <row r="16" ht="26" customHeight="1">
      <c r="A16" s="2" t="n">
        <v>15</v>
      </c>
      <c r="B16" s="3" t="n">
        <v>300</v>
      </c>
      <c r="C16" s="4">
        <f>B16-B15</f>
        <v/>
      </c>
      <c r="D16" s="5" t="inlineStr"/>
    </row>
    <row r="17" ht="26" customHeight="1">
      <c r="A17" s="2" t="n">
        <v>16</v>
      </c>
      <c r="B17" s="3" t="n">
        <v>344</v>
      </c>
      <c r="C17" s="4">
        <f>B17-B16</f>
        <v/>
      </c>
      <c r="D17" s="5" t="inlineStr"/>
    </row>
    <row r="18" ht="26" customHeight="1">
      <c r="A18" s="2" t="n">
        <v>17</v>
      </c>
      <c r="B18" s="3" t="n">
        <v>391</v>
      </c>
      <c r="C18" s="4">
        <f>B18-B17</f>
        <v/>
      </c>
      <c r="D18" s="5" t="inlineStr"/>
    </row>
    <row r="19" ht="26" customHeight="1">
      <c r="A19" s="2" t="n">
        <v>18</v>
      </c>
      <c r="B19" s="3" t="n">
        <v>441</v>
      </c>
      <c r="C19" s="4">
        <f>B19-B18</f>
        <v/>
      </c>
      <c r="D19" s="5" t="inlineStr"/>
    </row>
    <row r="20" ht="26" customHeight="1">
      <c r="A20" s="2" t="n">
        <v>19</v>
      </c>
      <c r="B20" s="3" t="n">
        <v>494</v>
      </c>
      <c r="C20" s="4">
        <f>B20-B19</f>
        <v/>
      </c>
      <c r="D20" s="5" t="inlineStr"/>
    </row>
    <row r="21" ht="26" customHeight="1">
      <c r="A21" s="2" t="n">
        <v>20</v>
      </c>
      <c r="B21" s="3" t="n">
        <v>550</v>
      </c>
      <c r="C21" s="4">
        <f>B21-B20</f>
        <v/>
      </c>
      <c r="D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2026-03-20T09:50:00Z</dcterms:created>
  <dcterms:modified xmlns:dcterms="http://purl.org/dc/terms/" xmlns:xsi="http://www.w3.org/2001/XMLSchema-instance" xsi:type="dcterms:W3CDTF">2026-03-19T13:22:46Z</dcterms:modified>
  <cp:lastModifiedBy>1426940312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EDBB19C657DF1F1B815ABB694041C156_42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